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dadca30b05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coes" sheetId="1" r:id="Re8a3033fb8614007"/>
    <x:sheet xmlns:r="http://schemas.openxmlformats.org/officeDocument/2006/relationships" name="Painel" sheetId="2" r:id="R5cb3e4db7fc048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235D75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1b3abb8b334228" /><Relationship Type="http://schemas.openxmlformats.org/officeDocument/2006/relationships/theme" Target="/xl/theme/theme1.xml" Id="Rc1129216c80b4bc9" /><Relationship Type="http://schemas.openxmlformats.org/officeDocument/2006/relationships/sharedStrings" Target="/xl/sharedStrings.xml" Id="R447cb9ef9e7745f6" /><Relationship Type="http://schemas.openxmlformats.org/officeDocument/2006/relationships/worksheet" Target="/xl/worksheets/sheet1.xml" Id="Re8a3033fb8614007" /><Relationship Type="http://schemas.openxmlformats.org/officeDocument/2006/relationships/worksheet" Target="/xl/worksheets/sheet2.xml" Id="R5cb3e4db7fc0488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cd06f8bf12410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Casos</c:v>
          </c:tx>
          <c:cat>
            <c:strRef>
              <c:f>'Painel'!$A$19:$A$22</c:f>
              <c:strCache>
                <c:ptCount val="0"/>
              </c:strCache>
            </c:strRef>
          </c:cat>
          <c:val>
            <c:numRef>
              <c:f>'Painel'!$B$19:$B$22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cd06f8bf12410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2e3c61341e14e8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7" hidden="0" customWidth="1"/>
    <x:col min="3" max="3" width="19" hidden="0" customWidth="1"/>
    <x:col min="4" max="4" width="19" hidden="0" customWidth="1"/>
    <x:col min="5" max="5" width="19" hidden="0" customWidth="1"/>
    <x:col min="6" max="6" width="17" hidden="0" customWidth="1"/>
    <x:col min="7" max="7" width="17" hidden="0" customWidth="1"/>
    <x:col min="8" max="8" width="35" hidden="0" customWidth="1"/>
  </x:cols>
  <x:sheetData>
    <x:row r="1" ht="29" customHeight="1">
      <x:c r="A1" s="3" t="str">
        <x:v>ID</x:v>
      </x:c>
      <x:c r="B1" s="3" t="str">
        <x:v>Modulo</x:v>
      </x:c>
      <x:c r="C1" s="3" t="str">
        <x:v>Resultado</x:v>
      </x:c>
      <x:c r="D1" s="3" t="str">
        <x:v>Severidade bug</x:v>
      </x:c>
      <x:c r="E1" s="3" t="str">
        <x:v>Automatizado?</x:v>
      </x:c>
      <x:c r="F1" s="3" t="str">
        <x:v>Duracao min</x:v>
      </x:c>
      <x:c r="G1" s="3" t="str">
        <x:v>Requisito</x:v>
      </x:c>
      <x:c r="H1" s="3" t="str">
        <x:v>Observacao</x:v>
      </x:c>
    </x:row>
    <x:row r="2">
      <x:c r="A2" t="str">
        <x:v>CT-001</x:v>
      </x:c>
      <x:c r="B2" t="str">
        <x:v>Login</x:v>
      </x:c>
      <x:c r="C2" t="str">
        <x:v>Aprovado</x:v>
      </x:c>
      <x:c r="D2" t="str">
        <x:v>Nenhuma</x:v>
      </x:c>
      <x:c r="E2" t="str">
        <x:v>Sim</x:v>
      </x:c>
      <x:c r="F2" t="n">
        <x:v>3</x:v>
      </x:c>
      <x:c r="G2" t="str">
        <x:v>REQ-01</x:v>
      </x:c>
      <x:c r="H2" t="str">
        <x:v>Login válido</x:v>
      </x:c>
    </x:row>
    <x:row r="3">
      <x:c r="A3" t="str">
        <x:v>CT-002</x:v>
      </x:c>
      <x:c r="B3" t="str">
        <x:v>Login</x:v>
      </x:c>
      <x:c r="C3" t="str">
        <x:v>Reprovado</x:v>
      </x:c>
      <x:c r="D3" t="str">
        <x:v>Alta</x:v>
      </x:c>
      <x:c r="E3" t="str">
        <x:v>Sim</x:v>
      </x:c>
      <x:c r="F3" t="n">
        <x:v>5</x:v>
      </x:c>
      <x:c r="G3" t="str">
        <x:v>REQ-02</x:v>
      </x:c>
      <x:c r="H3" t="str">
        <x:v>Bloqueio incorreto</x:v>
      </x:c>
    </x:row>
    <x:row r="4">
      <x:c r="A4" t="str">
        <x:v>CT-003</x:v>
      </x:c>
      <x:c r="B4" t="str">
        <x:v>Login</x:v>
      </x:c>
      <x:c r="C4" t="str">
        <x:v>Aprovado</x:v>
      </x:c>
      <x:c r="D4" t="str">
        <x:v>Nenhuma</x:v>
      </x:c>
      <x:c r="E4" t="str">
        <x:v>Não</x:v>
      </x:c>
      <x:c r="F4" t="n">
        <x:v>4</x:v>
      </x:c>
      <x:c r="G4" t="str">
        <x:v>REQ-03</x:v>
      </x:c>
      <x:c r="H4" t="str">
        <x:v>Campos vazios</x:v>
      </x:c>
    </x:row>
    <x:row r="5">
      <x:c r="A5" t="str">
        <x:v>CT-004</x:v>
      </x:c>
      <x:c r="B5" t="str">
        <x:v>Carrinho</x:v>
      </x:c>
      <x:c r="C5" t="str">
        <x:v>Aprovado</x:v>
      </x:c>
      <x:c r="D5" t="str">
        <x:v>Nenhuma</x:v>
      </x:c>
      <x:c r="E5" t="str">
        <x:v>Sim</x:v>
      </x:c>
      <x:c r="F5" t="n">
        <x:v>4</x:v>
      </x:c>
      <x:c r="G5" t="str">
        <x:v>REQ-04</x:v>
      </x:c>
      <x:c r="H5" t="str">
        <x:v>Adicionar item</x:v>
      </x:c>
    </x:row>
    <x:row r="6">
      <x:c r="A6" t="str">
        <x:v>CT-005</x:v>
      </x:c>
      <x:c r="B6" t="str">
        <x:v>Carrinho</x:v>
      </x:c>
      <x:c r="C6" t="str">
        <x:v>Reprovado</x:v>
      </x:c>
      <x:c r="D6" t="str">
        <x:v>Média</x:v>
      </x:c>
      <x:c r="E6" t="str">
        <x:v>Não</x:v>
      </x:c>
      <x:c r="F6" t="n">
        <x:v>6</x:v>
      </x:c>
      <x:c r="G6" t="str">
        <x:v>REQ-05</x:v>
      </x:c>
      <x:c r="H6" t="str">
        <x:v>Remover item</x:v>
      </x:c>
    </x:row>
    <x:row r="7">
      <x:c r="A7" t="str">
        <x:v>CT-006</x:v>
      </x:c>
      <x:c r="B7" t="str">
        <x:v>Carrinho</x:v>
      </x:c>
      <x:c r="C7" t="str">
        <x:v>Aprovado</x:v>
      </x:c>
      <x:c r="D7" t="str">
        <x:v>Nenhuma</x:v>
      </x:c>
      <x:c r="E7" t="str">
        <x:v>Sim</x:v>
      </x:c>
      <x:c r="F7" t="n">
        <x:v>3</x:v>
      </x:c>
      <x:c r="G7" t="str">
        <x:v>REQ-06</x:v>
      </x:c>
      <x:c r="H7" t="str">
        <x:v>Atualizar badge</x:v>
      </x:c>
    </x:row>
    <x:row r="8">
      <x:c r="A8" t="str">
        <x:v>CT-007</x:v>
      </x:c>
      <x:c r="B8" t="str">
        <x:v>Checkout</x:v>
      </x:c>
      <x:c r="C8" t="str">
        <x:v>Aprovado</x:v>
      </x:c>
      <x:c r="D8" t="str">
        <x:v>Nenhuma</x:v>
      </x:c>
      <x:c r="E8" t="str">
        <x:v>Sim</x:v>
      </x:c>
      <x:c r="F8" t="n">
        <x:v>5</x:v>
      </x:c>
      <x:c r="G8" t="str">
        <x:v>REQ-07</x:v>
      </x:c>
      <x:c r="H8" t="str">
        <x:v>Finalizar compra</x:v>
      </x:c>
    </x:row>
    <x:row r="9">
      <x:c r="A9" t="str">
        <x:v>CT-008</x:v>
      </x:c>
      <x:c r="B9" t="str">
        <x:v>Checkout</x:v>
      </x:c>
      <x:c r="C9" t="str">
        <x:v>Bloqueado</x:v>
      </x:c>
      <x:c r="D9" t="str">
        <x:v>Nenhuma</x:v>
      </x:c>
      <x:c r="E9" t="str">
        <x:v>Não</x:v>
      </x:c>
      <x:c r="F9" t="n">
        <x:v>0</x:v>
      </x:c>
      <x:c r="G9" t="str">
        <x:v>REQ-08</x:v>
      </x:c>
      <x:c r="H9" t="str">
        <x:v>Ambiente indisponível</x:v>
      </x:c>
    </x:row>
    <x:row r="10">
      <x:c r="A10" t="str">
        <x:v>CT-009</x:v>
      </x:c>
      <x:c r="B10" t="str">
        <x:v>Checkout</x:v>
      </x:c>
      <x:c r="C10" t="str">
        <x:v>Aprovado</x:v>
      </x:c>
      <x:c r="D10" t="str">
        <x:v>Nenhuma</x:v>
      </x:c>
      <x:c r="E10" t="str">
        <x:v>Sim</x:v>
      </x:c>
      <x:c r="F10" t="n">
        <x:v>4</x:v>
      </x:c>
      <x:c r="G10" t="str">
        <x:v>REQ-09</x:v>
      </x:c>
      <x:c r="H10" t="str">
        <x:v>Validação endereço</x:v>
      </x:c>
    </x:row>
    <x:row r="11">
      <x:c r="A11" t="str">
        <x:v>CT-010</x:v>
      </x:c>
      <x:c r="B11" t="str">
        <x:v>Login</x:v>
      </x:c>
      <x:c r="C11" t="str">
        <x:v>Não executado</x:v>
      </x:c>
      <x:c r="D11" t="str">
        <x:v>Nenhuma</x:v>
      </x:c>
      <x:c r="E11" t="str">
        <x:v>Não</x:v>
      </x:c>
      <x:c r="F11" t="n">
        <x:v>0</x:v>
      </x:c>
      <x:c r="G11" t="str">
        <x:v>REQ-10</x:v>
      </x:c>
      <x:c r="H11" t="str">
        <x:v>Pendente</x:v>
      </x:c>
    </x:row>
  </x:sheetData>
  <x:dataValidations count="3">
    <x:dataValidation type="list" sqref="C2:C101">
      <x:formula1>"Aprovado,Reprovado,Bloqueado,Não executado"</x:formula1>
    </x:dataValidation>
    <x:dataValidation type="list" sqref="E2:E101">
      <x:formula1>"Sim,Não"</x:formula1>
    </x:dataValidation>
    <x:dataValidation type="list" sqref="D2:D101">
      <x:formula1>"Nenhuma,Baixa,Média,Alta,Crítica"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18" hidden="0" customWidth="1"/>
    <x:col min="4" max="4" width="20" hidden="0" customWidth="1"/>
  </x:cols>
  <x:sheetData>
    <x:row r="1" ht="34" customHeight="1">
      <x:c r="A1" s="3" t="str">
        <x:v>PAINEL DE MÉTRICAS — EXEMPLO DIDÁTICO</x:v>
      </x:c>
      <x:c r="B1" s="3"/>
      <x:c r="C1" s="3"/>
      <x:c r="D1" s="3"/>
    </x:row>
    <x:row r="3" ht="25" customHeight="1">
      <x:c r="A3" t="str">
        <x:v>Casos cadastrados</x:v>
      </x:c>
      <x:c r="B3" t="n">
        <x:f>COUNTA(Execucoes!A2:A101)</x:f>
        <x:v>10</x:v>
      </x:c>
    </x:row>
    <x:row r="4" ht="25" customHeight="1">
      <x:c r="A4" t="str">
        <x:v>Executados</x:v>
      </x:c>
      <x:c r="B4" t="n">
        <x:f>COUNTIF(Execucoes!C2:C101,"Aprovado")+COUNTIF(Execucoes!C2:C101,"Reprovado")</x:f>
        <x:v>8</x:v>
      </x:c>
    </x:row>
    <x:row r="5" ht="25" customHeight="1">
      <x:c r="A5" t="str">
        <x:v>Aprovados</x:v>
      </x:c>
      <x:c r="B5" t="n">
        <x:f>COUNTIF(Execucoes!C2:C101,"Aprovado")</x:f>
        <x:v>6</x:v>
      </x:c>
    </x:row>
    <x:row r="6" ht="25" customHeight="1">
      <x:c r="A6" t="str">
        <x:v>Reprovados</x:v>
      </x:c>
      <x:c r="B6" t="n">
        <x:f>COUNTIF(Execucoes!C2:C101,"Reprovado")</x:f>
        <x:v>2</x:v>
      </x:c>
    </x:row>
    <x:row r="7" ht="25" customHeight="1">
      <x:c r="A7" t="str">
        <x:v>Bloqueados</x:v>
      </x:c>
      <x:c r="B7" t="n">
        <x:f>COUNTIF(Execucoes!C2:C101,"Bloqueado")</x:f>
        <x:v>1</x:v>
      </x:c>
    </x:row>
    <x:row r="8" ht="25" customHeight="1">
      <x:c r="A8" t="str">
        <x:v>Não executados</x:v>
      </x:c>
      <x:c r="B8" t="n">
        <x:f>COUNTIF(Execucoes!C2:C101,"Não executado")</x:f>
        <x:v>1</x:v>
      </x:c>
    </x:row>
    <x:row r="9" ht="25" customHeight="1">
      <x:c r="A9" t="str">
        <x:v>Taxa de aprovação (executados)</x:v>
      </x:c>
      <x:c r="B9" s="6" t="n">
        <x:f>IFERROR(B5/B4,0)</x:f>
        <x:v>0.75</x:v>
      </x:c>
    </x:row>
    <x:row r="10" ht="25" customHeight="1">
      <x:c r="A10" t="str">
        <x:v>Progresso de execução</x:v>
      </x:c>
      <x:c r="B10" s="6" t="n">
        <x:f>IFERROR(B4/B3,0)</x:f>
        <x:v>0.8</x:v>
      </x:c>
    </x:row>
    <x:row r="11" ht="25" customHeight="1">
      <x:c r="A11" t="str">
        <x:v>Automatizados (casos)</x:v>
      </x:c>
      <x:c r="B11" t="n">
        <x:f>COUNTIF(Execucoes!E2:E101,"Sim")</x:f>
        <x:v>6</x:v>
      </x:c>
    </x:row>
    <x:row r="12" ht="25" customHeight="1">
      <x:c r="A12" t="str">
        <x:v>Proporção automatizada</x:v>
      </x:c>
      <x:c r="B12" s="6" t="n">
        <x:f>IFERROR(B11/B3,0)</x:f>
        <x:v>0.6</x:v>
      </x:c>
    </x:row>
    <x:row r="13" ht="25" customHeight="1">
      <x:c r="A13" t="str">
        <x:v>Tempo executado (min)</x:v>
      </x:c>
      <x:c r="B13" t="n">
        <x:f>SUM(Execucoes!F2:F101)</x:f>
        <x:v>34</x:v>
      </x:c>
    </x:row>
    <x:row r="14" ht="25" customHeight="1">
      <x:c r="A14" t="str">
        <x:v>Reprovados alta/crítica</x:v>
      </x:c>
      <x:c r="B14" t="n">
        <x:f>COUNTIFS(Execucoes!C2:C101,"Reprovado",Execucoes!D2:D101,"Alta")+COUNTIFS(Execucoes!C2:C101,"Reprovado",Execucoes!D2:D101,"Crítica")</x:f>
        <x:v>1</x:v>
      </x:c>
    </x:row>
    <x:row r="16" ht="30" customHeight="1">
      <x:c r="A16" s="9" t="str">
        <x:v>ATENÇÃO: métricas não comprovam qualidade isoladamente; avalie riscos, cobertura e contexto.</x:v>
      </x:c>
      <x:c r="B16" s="9"/>
      <x:c r="C16" s="9"/>
      <x:c r="D16" s="9"/>
    </x:row>
    <x:row r="18">
      <x:c r="A18" s="13" t="str">
        <x:v>Status</x:v>
      </x:c>
      <x:c r="B18" s="13" t="str">
        <x:v>Quantidade</x:v>
      </x:c>
    </x:row>
    <x:row r="19">
      <x:c r="A19" t="str">
        <x:v>Aprovado</x:v>
      </x:c>
      <x:c r="B19" t="n">
        <x:f>COUNTIF(Execucoes!C2:C101,A19)</x:f>
        <x:v>6</x:v>
      </x:c>
    </x:row>
    <x:row r="20">
      <x:c r="A20" t="str">
        <x:v>Reprovado</x:v>
      </x:c>
      <x:c r="B20" t="n">
        <x:f>COUNTIF(Execucoes!C2:C101,A20)</x:f>
        <x:v>2</x:v>
      </x:c>
    </x:row>
    <x:row r="21">
      <x:c r="A21" t="str">
        <x:v>Bloqueado</x:v>
      </x:c>
      <x:c r="B21" t="n">
        <x:f>COUNTIF(Execucoes!C2:C101,A21)</x:f>
        <x:v>1</x:v>
      </x:c>
    </x:row>
    <x:row r="22">
      <x:c r="A22" t="str">
        <x:v>Não executado</x:v>
      </x:c>
      <x:c r="B22" t="n">
        <x:f>COUNTIF(Execucoes!C2:C101,A22)</x:f>
        <x:v>1</x:v>
      </x:c>
    </x:row>
    <x:row r="24">
      <x:c r="A24" s="16" t="str">
        <x:v>Dados fictícios para estudo. Substitua as linhas em Execucoes pelos seus próprios casos.</x:v>
      </x:c>
      <x:c r="B24" s="16"/>
      <x:c r="C24" s="16"/>
      <x:c r="D24" s="16"/>
    </x:row>
  </x:sheetData>
  <x:mergeCells>
    <x:mergeCell ref="A1:D1"/>
    <x:mergeCell ref="A16:D16"/>
    <x:mergeCell ref="A24:D24"/>
  </x:mergeCells>
  <x:pageMargins left="0.7" right="0.7" top="0.75" bottom="0.75" header="0.3" footer="0.3"/>
  <x:drawing xmlns:r="http://schemas.openxmlformats.org/officeDocument/2006/relationships" r:id="R82e3c61341e14e81"/>
</x:worksheet>
</file>