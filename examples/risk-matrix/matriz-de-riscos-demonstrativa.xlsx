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c3026b93b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scos" sheetId="1" r:id="Raa5e97afaebf4c46"/>
    <x:sheet xmlns:r="http://schemas.openxmlformats.org/officeDocument/2006/relationships" name="Guia e Critérios" sheetId="2" r:id="R2f4c4230d2d9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6516B"/>
      <x:name val="Carlito"/>
    </x:font>
    <x:font>
      <x:b/>
      <x:sz val="11"/>
      <x:color rgb="FFFFFFFF"/>
      <x:name val="Carlito"/>
    </x:font>
    <x:font>
      <x:b/>
      <x:sz val="11"/>
      <x:color rgb="FF9A2424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176B80"/>
      </x:patternFill>
    </x:fill>
    <x:fill>
      <x:patternFill patternType="solid">
        <x:fgColor rgb="FFFDE7E7"/>
      </x:patternFill>
    </x:fill>
    <x:fill>
      <x:patternFill patternType="solid">
        <x:fgColor rgb="FFF2F6F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c56d74d744e34" /><Relationship Type="http://schemas.openxmlformats.org/officeDocument/2006/relationships/theme" Target="/xl/theme/theme1.xml" Id="R643133a15e884866" /><Relationship Type="http://schemas.openxmlformats.org/officeDocument/2006/relationships/sharedStrings" Target="/xl/sharedStrings.xml" Id="R5f60065d5bca4002" /><Relationship Type="http://schemas.openxmlformats.org/officeDocument/2006/relationships/worksheet" Target="/xl/worksheets/sheet1.xml" Id="Raa5e97afaebf4c46" /><Relationship Type="http://schemas.openxmlformats.org/officeDocument/2006/relationships/worksheet" Target="/xl/worksheets/sheet2.xml" Id="R2f4c4230d2d9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35" hidden="0" customWidth="1"/>
    <x:col min="4" max="4" width="15" hidden="0" customWidth="1"/>
    <x:col min="5" max="5" width="15" hidden="0" customWidth="1"/>
    <x:col min="6" max="6" width="11" hidden="0" customWidth="1"/>
    <x:col min="7" max="7" width="16" hidden="0" customWidth="1"/>
    <x:col min="8" max="8" width="48" hidden="0" customWidth="1"/>
    <x:col min="9" max="9" width="20" hidden="0" customWidth="1"/>
    <x:col min="10" max="10" width="16" hidden="0" customWidth="1"/>
  </x:cols>
  <x:sheetData>
    <x:row r="1" ht="36" customHeight="1">
      <x:c r="A1" s="3" t="str">
        <x:v>MATRIZ DE RISCOS | AUTENTICAÇÃO — DEMONSTRAÇÃO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Projeto fictício • Sprint 08 • 19–23/10/2026 • Exemplo educacional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2" t="str">
        <x:v>ID</x:v>
      </x:c>
      <x:c r="B4" s="12" t="str">
        <x:v>Risco / evento</x:v>
      </x:c>
      <x:c r="C4" s="12" t="str">
        <x:v>Impacto no negócio</x:v>
      </x:c>
      <x:c r="D4" s="12" t="str">
        <x:v>Prob. (1–5)</x:v>
      </x:c>
      <x:c r="E4" s="12" t="str">
        <x:v>Impacto (1–5)</x:v>
      </x:c>
      <x:c r="F4" s="12" t="str">
        <x:v>Score</x:v>
      </x:c>
      <x:c r="G4" s="12" t="str">
        <x:v>Classificação</x:v>
      </x:c>
      <x:c r="H4" s="12" t="str">
        <x:v>Tratamento / mitigação</x:v>
      </x:c>
      <x:c r="I4" s="12" t="str">
        <x:v>Responsável</x:v>
      </x:c>
      <x:c r="J4" s="12" t="str">
        <x:v>Situação</x:v>
      </x:c>
    </x:row>
    <x:row r="5" ht="76" customHeight="1">
      <x:c r="A5" s="16" t="str">
        <x:v>R-001</x:v>
      </x:c>
      <x:c r="B5" s="16" t="str">
        <x:v>Usuário bloqueado acessa área autenticada</x:v>
      </x:c>
      <x:c r="C5" s="16" t="str">
        <x:v>Acesso não autorizado / segurança</x:v>
      </x:c>
      <x:c r="D5" s="18" t="n">
        <x:v>4</x:v>
      </x:c>
      <x:c r="E5" s="18" t="n">
        <x:v>5</x:v>
      </x:c>
      <x:c r="F5" s="18" t="n">
        <x:f>D5*E5</x:f>
        <x:v>20</x:v>
      </x:c>
      <x:c r="G5" s="18" t="str">
        <x:f>IF(F5&gt;=15,"Crítico",IF(F5&gt;=10,"Alto",IF(F5&gt;=5,"Moderado","Baixo")))</x:f>
        <x:v>Crítico</x:v>
      </x:c>
      <x:c r="H5" s="16" t="str">
        <x:v>Bloquear liberação; corrigir controle de acesso e retestar</x:v>
      </x:c>
      <x:c r="I5" s="16" t="str">
        <x:v>Dev + QA</x:v>
      </x:c>
      <x:c r="J5" s="16" t="str">
        <x:v>Aberto</x:v>
      </x:c>
    </x:row>
    <x:row r="6" ht="76" customHeight="1">
      <x:c r="A6" s="16" t="str">
        <x:v>R-002</x:v>
      </x:c>
      <x:c r="B6" s="16" t="str">
        <x:v>Logout não invalida sessão</x:v>
      </x:c>
      <x:c r="C6" s="16" t="str">
        <x:v>Sessão indevida após saída do usuário</x:v>
      </x:c>
      <x:c r="D6" s="18" t="n">
        <x:v>4</x:v>
      </x:c>
      <x:c r="E6" s="18" t="n">
        <x:v>5</x:v>
      </x:c>
      <x:c r="F6" s="18" t="n">
        <x:f>D6*E6</x:f>
        <x:v>20</x:v>
      </x:c>
      <x:c r="G6" s="18" t="str">
        <x:f>IF(F6&gt;=15,"Crítico",IF(F6&gt;=10,"Alto",IF(F6&gt;=5,"Moderado","Baixo")))</x:f>
        <x:v>Crítico</x:v>
      </x:c>
      <x:c r="H6" s="16" t="str">
        <x:v>Invalidar token/sessão; regressão de logout e sessão</x:v>
      </x:c>
      <x:c r="I6" s="16" t="str">
        <x:v>Dev + QA</x:v>
      </x:c>
      <x:c r="J6" s="16" t="str">
        <x:v>Aberto</x:v>
      </x:c>
    </x:row>
    <x:row r="7" ht="76" customHeight="1">
      <x:c r="A7" s="16" t="str">
        <x:v>R-003</x:v>
      </x:c>
      <x:c r="B7" s="16" t="str">
        <x:v>Mensagem de erro incorreta no login</x:v>
      </x:c>
      <x:c r="C7" s="16" t="str">
        <x:v>Confusão do usuário e aumento de suporte</x:v>
      </x:c>
      <x:c r="D7" s="18" t="n">
        <x:v>3</x:v>
      </x:c>
      <x:c r="E7" s="18" t="n">
        <x:v>2</x:v>
      </x:c>
      <x:c r="F7" s="18" t="n">
        <x:f>D7*E7</x:f>
        <x:v>6</x:v>
      </x:c>
      <x:c r="G7" s="18" t="str">
        <x:f>IF(F7&gt;=15,"Crítico",IF(F7&gt;=10,"Alto",IF(F7&gt;=5,"Moderado","Baixo")))</x:f>
        <x:v>Moderado</x:v>
      </x:c>
      <x:c r="H7" s="16" t="str">
        <x:v>Revisar mensagem e validar cenários negativos</x:v>
      </x:c>
      <x:c r="I7" s="16" t="str">
        <x:v>Produto + Dev</x:v>
      </x:c>
      <x:c r="J7" s="16" t="str">
        <x:v>Aberto</x:v>
      </x:c>
    </x:row>
    <x:row r="8" ht="76" customHeight="1">
      <x:c r="A8" s="16" t="str">
        <x:v>R-004</x:v>
      </x:c>
      <x:c r="B8" s="16" t="str">
        <x:v>Serviço de recuperação de senha indisponível</x:v>
      </x:c>
      <x:c r="C8" s="16" t="str">
        <x:v>Bloqueio de 2 testes; fluxo não validado</x:v>
      </x:c>
      <x:c r="D8" s="18" t="n">
        <x:v>3</x:v>
      </x:c>
      <x:c r="E8" s="18" t="n">
        <x:v>4</x:v>
      </x:c>
      <x:c r="F8" s="18" t="n">
        <x:f>D8*E8</x:f>
        <x:v>12</x:v>
      </x:c>
      <x:c r="G8" s="18" t="str">
        <x:f>IF(F8&gt;=15,"Crítico",IF(F8&gt;=10,"Alto",IF(F8&gt;=5,"Moderado","Baixo")))</x:f>
        <x:v>Alto</x:v>
      </x:c>
      <x:c r="H8" s="16" t="str">
        <x:v>Restaurar integração e executar testes bloqueados</x:v>
      </x:c>
      <x:c r="I8" s="16" t="str">
        <x:v>Integrações</x:v>
      </x:c>
      <x:c r="J8" s="16" t="str">
        <x:v>Bloqueado</x:v>
      </x:c>
    </x:row>
    <x:row r="9" ht="76" customHeight="1">
      <x:c r="A9" s="16" t="str">
        <x:v>R-005</x:v>
      </x:c>
      <x:c r="B9" s="16" t="str">
        <x:v>3 casos planejados ainda não executados</x:v>
      </x:c>
      <x:c r="C9" s="16" t="str">
        <x:v>Cobertura insuficiente para decisão de release</x:v>
      </x:c>
      <x:c r="D9" s="18" t="n">
        <x:v>3</x:v>
      </x:c>
      <x:c r="E9" s="18" t="n">
        <x:v>4</x:v>
      </x:c>
      <x:c r="F9" s="18" t="n">
        <x:f>D9*E9</x:f>
        <x:v>12</x:v>
      </x:c>
      <x:c r="G9" s="18" t="str">
        <x:f>IF(F9&gt;=15,"Crítico",IF(F9&gt;=10,"Alto",IF(F9&gt;=5,"Moderado","Baixo")))</x:f>
        <x:v>Alto</x:v>
      </x:c>
      <x:c r="H9" s="16" t="str">
        <x:v>Executar pendências e regressão antes do go/no-go</x:v>
      </x:c>
      <x:c r="I9" s="16" t="str">
        <x:v>QA</x:v>
      </x:c>
      <x:c r="J9" s="16" t="str">
        <x:v>Pendente</x:v>
      </x:c>
    </x:row>
    <x:row r="12" ht="29" customHeight="1">
      <x:c r="A12" s="21" t="str">
        <x:v>DECISÃO RECOMENDADA: NÃO LIBERAR — riscos críticos abertos e cobertura incompleta.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29" customHeight="1">
      <x:c r="A13" s="25" t="str">
        <x:v>Critérios de saída: resolver R-001/R-002; desbloquear R-004; executar pendências; concluir regressão.</x:v>
      </x:c>
      <x:c r="B13" s="25"/>
      <x:c r="C13" s="25"/>
      <x:c r="D13" s="25"/>
      <x:c r="E13" s="25"/>
      <x:c r="F13" s="25"/>
      <x:c r="G13" s="25"/>
      <x:c r="H13" s="25"/>
      <x:c r="I13" s="25"/>
      <x:c r="J13" s="25"/>
    </x:row>
  </x:sheetData>
  <x:mergeCells>
    <x:mergeCell ref="A1:J1"/>
    <x:mergeCell ref="A2:J2"/>
    <x:mergeCell ref="A12:J12"/>
    <x:mergeCell ref="A13:J13"/>
  </x:mergeCells>
  <x:conditionalFormatting sqref="F5:F9">
    <x:cfRule type="colorScale" priority="1">
      <x:colorScale>
        <x:cfvo type="min"/>
        <x:cfvo type="percentile" val="50"/>
        <x:cfvo type="max"/>
        <x:color rgb="FFD8F3DC"/>
        <x:color rgb="FFFFE8A3"/>
        <x:color rgb="FFF9B5B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4" customHeight="1">
      <x:c r="A1" s="28" t="str">
        <x:v>GUIA DE AVALIAÇÃO DE RISCOS</x:v>
      </x:c>
      <x:c r="B1" s="28"/>
      <x:c r="C1" s="28"/>
      <x:c r="D1" s="28"/>
    </x:row>
    <x:row r="3" ht="26" customHeight="1">
      <x:c r="A3" s="11" t="str">
        <x:v>Probabilidade</x:v>
      </x:c>
      <x:c r="B3" s="11" t="str">
        <x:v>Descrição</x:v>
      </x:c>
      <x:c r="C3" s="11" t="str">
        <x:v>Impacto</x:v>
      </x:c>
      <x:c r="D3" s="11" t="str">
        <x:v>Descrição</x:v>
      </x:c>
    </x:row>
    <x:row r="4">
      <x:c r="A4" t="n">
        <x:v>1</x:v>
      </x:c>
      <x:c r="B4" t="str">
        <x:v>Rara</x:v>
      </x:c>
      <x:c r="C4" t="n">
        <x:v>1</x:v>
      </x:c>
      <x:c r="D4" t="str">
        <x:v>Insignificante</x:v>
      </x:c>
    </x:row>
    <x:row r="5">
      <x:c r="A5" t="n">
        <x:v>2</x:v>
      </x:c>
      <x:c r="B5" t="str">
        <x:v>Improvável</x:v>
      </x:c>
      <x:c r="C5" t="n">
        <x:v>2</x:v>
      </x:c>
      <x:c r="D5" t="str">
        <x:v>Baixo</x:v>
      </x:c>
    </x:row>
    <x:row r="6">
      <x:c r="A6" t="n">
        <x:v>3</x:v>
      </x:c>
      <x:c r="B6" t="str">
        <x:v>Possível</x:v>
      </x:c>
      <x:c r="C6" t="n">
        <x:v>3</x:v>
      </x:c>
      <x:c r="D6" t="str">
        <x:v>Moderado</x:v>
      </x:c>
    </x:row>
    <x:row r="7">
      <x:c r="A7" t="n">
        <x:v>4</x:v>
      </x:c>
      <x:c r="B7" t="str">
        <x:v>Provável</x:v>
      </x:c>
      <x:c r="C7" t="n">
        <x:v>4</x:v>
      </x:c>
      <x:c r="D7" t="str">
        <x:v>Alto</x:v>
      </x:c>
    </x:row>
    <x:row r="8">
      <x:c r="A8" t="n">
        <x:v>5</x:v>
      </x:c>
      <x:c r="B8" t="str">
        <x:v>Muito provável</x:v>
      </x:c>
      <x:c r="C8" t="n">
        <x:v>5</x:v>
      </x:c>
      <x:c r="D8" t="str">
        <x:v>Crítico</x:v>
      </x:c>
    </x:row>
    <x:row r="11" ht="26" customHeight="1">
      <x:c r="A11" s="11" t="str">
        <x:v>Score</x:v>
      </x:c>
      <x:c r="B11" s="11" t="str">
        <x:v>Nível</x:v>
      </x:c>
    </x:row>
    <x:row r="12">
      <x:c r="A12" t="str">
        <x:v>1–4</x:v>
      </x:c>
      <x:c r="B12" t="str">
        <x:v>Baixo</x:v>
      </x:c>
    </x:row>
    <x:row r="13">
      <x:c r="A13" t="str">
        <x:v>5–9</x:v>
      </x:c>
      <x:c r="B13" t="str">
        <x:v>Moderado</x:v>
      </x:c>
    </x:row>
    <x:row r="14">
      <x:c r="A14" t="str">
        <x:v>10–14</x:v>
      </x:c>
      <x:c r="B14" t="str">
        <x:v>Alto</x:v>
      </x:c>
    </x:row>
    <x:row r="15">
      <x:c r="A15" t="str">
        <x:v>15–25</x:v>
      </x:c>
      <x:c r="B15" t="str">
        <x:v>Crítico</x:v>
      </x:c>
    </x:row>
    <x:row r="18" ht="40" customHeight="1">
      <x:c r="A18" s="16" t="str">
        <x:v>Score = Probabilidade × Impacto. Escalas ilustrativas, ajustáveis ao contexto do projeto.</x:v>
      </x:c>
      <x:c r="B18" s="16"/>
      <x:c r="C18" s="16"/>
      <x:c r="D18" s="16"/>
    </x:row>
    <x:row r="20">
      <x:c r="A20" t="str">
        <x:v>Dados fictícios, alinhados ao Status Report demonstrativo. Não representam produção.</x:v>
      </x:c>
    </x:row>
  </x:sheetData>
  <x:mergeCells>
    <x:mergeCell ref="A1:D1"/>
    <x:mergeCell ref="A18:D18"/>
    <x:mergeCell ref="A20:D20"/>
  </x:mergeCells>
  <x:pageMargins left="0.7" right="0.7" top="0.75" bottom="0.75" header="0.3" footer="0.3"/>
</x:worksheet>
</file>